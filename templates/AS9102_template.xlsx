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mni\Downloads\Critical FAIR\"/>
    </mc:Choice>
  </mc:AlternateContent>
  <xr:revisionPtr revIDLastSave="0" documentId="13_ncr:1_{538E37BC-F391-4911-B65E-32BAB2CA41A5}" xr6:coauthVersionLast="47" xr6:coauthVersionMax="47" xr10:uidLastSave="{00000000-0000-0000-0000-000000000000}"/>
  <bookViews>
    <workbookView xWindow="-108" yWindow="-108" windowWidth="23256" windowHeight="12720" tabRatio="500" activeTab="2" xr2:uid="{00000000-000D-0000-FFFF-FFFF00000000}"/>
  </bookViews>
  <sheets>
    <sheet name="Instructions" sheetId="1" r:id="rId1"/>
    <sheet name="Part Info, Drawing &amp; GDT Ref" sheetId="2" r:id="rId2"/>
    <sheet name="Characteristics" sheetId="3" r:id="rId3"/>
    <sheet name="Summary" sheetId="4" r:id="rId4"/>
  </sheets>
  <definedNames>
    <definedName name="_xlnm.Print_Area" localSheetId="1">'Part Info, Drawing &amp; GDT Ref'!$A$1:$H$44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4" l="1"/>
  <c r="B8" i="4" s="1"/>
  <c r="B5" i="4"/>
  <c r="B4" i="4"/>
  <c r="B3" i="4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<sst xmlns="http://schemas.openxmlformats.org/spreadsheetml/2006/main" count="300" uniqueCount="222">
  <si>
    <t>First Article Inspection (FAI) Report Template — AS9102-aligned</t>
  </si>
  <si>
    <t>PURPOSE</t>
  </si>
  <si>
    <t>This workbook is a First Article Inspection (FAI) report template. Field structure follows AS9102 (Form 1 - Part Number Accountability, and Form 3 - Characteristic Accountability, Verification and Compatibility Evaluation), which is the standard AS9100D-compliant organizations use to document FAI. This is a working measurement capture sheet meant to be filled in by an agent or inspector — it is not a substitute for your organization's controlled AS9102 form if one is required for customer submission.</t>
  </si>
  <si>
    <t>SHEETS</t>
  </si>
  <si>
    <t>1. Instructions — this sheet.</t>
  </si>
  <si>
    <t>2. Part Info, Drawing &amp; GD&amp;T Reference — part/job header fields (AS9102 Form 1 style), a space to attach the ballooned drawing, and a GD&amp;T/dimension type reference table that powers the dropdown on the Characteristics sheet.</t>
  </si>
  <si>
    <t>3. Characteristics — one row per drawing characteristic (AS9102 Form 3 style). Description, GD&amp;T Type, Nominal and Tolerances should be filled in from the drawing before measurement. Measured Value and Comments are filled in during/after measurement. Result is a live formula — do not overwrite it.</t>
  </si>
  <si>
    <t>4. Summary — auto-tallies pass/fail/incomplete counts and overall disposition.</t>
  </si>
  <si>
    <t>HOW TO ATTACH THE BALLOONED DRAWING</t>
  </si>
  <si>
    <t>On the 'Part Info, Drawing &amp; GD&amp;T Reference' sheet, a bordered placeholder area is provided. In Excel: Insert &gt; Pictures &gt; This Device, then resize/position the image inside that bordered area. If you prefer to keep the ballooned drawing as a separate PDF, note its filename in the 'Ballooned Drawing File Reference' cell instead and keep the file alongside this workbook.</t>
  </si>
  <si>
    <t>CELL COLOR LEGEND</t>
  </si>
  <si>
    <t xml:space="preserve">  Yellow fill = cell(s) meant to be filled in (by a person or the agent)</t>
  </si>
  <si>
    <t xml:space="preserve">  Light gray, dashed border = placeholder area (image attachment)</t>
  </si>
  <si>
    <t xml:space="preserve">  White, black text = formula or fixed label — do not overwrite</t>
  </si>
  <si>
    <t>NOTES</t>
  </si>
  <si>
    <t>- Add more rows to the Characteristics sheet by inserting rows above the last row and copying the formula/formatting/dropdown down.</t>
  </si>
  <si>
    <t>- 'Reference Location' is meant for a drawing zone, balloon number, or feature callout label matching the ballooned drawing.</t>
  </si>
  <si>
    <t>First Article Inspection Report — Part Info, Drawing &amp; GD&amp;T Reference</t>
  </si>
  <si>
    <t>PART / JOB INFORMATION  (AS9102 Form 1 style)</t>
  </si>
  <si>
    <t>Part Number</t>
  </si>
  <si>
    <t>Part Name / Description</t>
  </si>
  <si>
    <t>Part Revision Level</t>
  </si>
  <si>
    <t>Drawing Number</t>
  </si>
  <si>
    <t>Drawing Revision Level</t>
  </si>
  <si>
    <t>Additional Changes (Number / Letter)</t>
  </si>
  <si>
    <t>FAI Report Number</t>
  </si>
  <si>
    <t>Serial Number(s) / Lot Number</t>
  </si>
  <si>
    <t>Quantity in Lot</t>
  </si>
  <si>
    <t>Manufacturing Process Reference</t>
  </si>
  <si>
    <t>Organization / Supplier Name</t>
  </si>
  <si>
    <t>Supplier Code</t>
  </si>
  <si>
    <t>Customer</t>
  </si>
  <si>
    <t>Purchase Order Number</t>
  </si>
  <si>
    <t>Material / Specification</t>
  </si>
  <si>
    <t>Material Certification Number</t>
  </si>
  <si>
    <t>FAI Type (Full / Partial / Delta)</t>
  </si>
  <si>
    <t>Baseline Part Number (if Partial / Delta)</t>
  </si>
  <si>
    <t>Reason for Partial / Delta FAI</t>
  </si>
  <si>
    <t>Inspector Name</t>
  </si>
  <si>
    <t>Inspection Date</t>
  </si>
  <si>
    <t>Measurement Equipment Used</t>
  </si>
  <si>
    <t>Equipment Calibration Due Date</t>
  </si>
  <si>
    <t>Example (delete before use): Part Number = 10293-04A</t>
  </si>
  <si>
    <t>BALLOONED DRAWING ATTACHMENT</t>
  </si>
  <si>
    <t>Ballooned Drawing File Reference</t>
  </si>
  <si>
    <t>Insert the ballooned drawing image in the placeholder area below (Insert &gt; Pictures in Excel), or leave the ballooned drawing as a separate file and reference its filename above.</t>
  </si>
  <si>
    <t>PASTE / INSERT BALLOONED DRAWING IMAGE HERE</t>
  </si>
  <si>
    <t>GD&amp;T / DIMENSION TYPE REFERENCE  (lookup only — do not edit; used by Characteristics sheet dropdown)</t>
  </si>
  <si>
    <t>Name</t>
  </si>
  <si>
    <t>Category</t>
  </si>
  <si>
    <t>Requires Datum</t>
  </si>
  <si>
    <t>Meaning</t>
  </si>
  <si>
    <t>Source URL</t>
  </si>
  <si>
    <t>Angularity</t>
  </si>
  <si>
    <t>Geometric Characteristic - Orientation</t>
  </si>
  <si>
    <t>Yes</t>
  </si>
  <si>
    <t>Controls a surface or axis at a specific angle other than 0 or 90 degrees relative to a datum, and requires a basic angle dimension to define that angle.</t>
  </si>
  <si>
    <t>https://www.gdandtbasics.com/angularity</t>
  </si>
  <si>
    <t>Arc Length</t>
  </si>
  <si>
    <t>Dimensioning Symbol</t>
  </si>
  <si>
    <t>No</t>
  </si>
  <si>
    <t>Indicates that a dimension is measured along a curved arc rather than as a straight-line chord distance.</t>
  </si>
  <si>
    <t>https://www.gdandtbasics.com/arc-length</t>
  </si>
  <si>
    <t>Circularity (Roundness)</t>
  </si>
  <si>
    <t>Geometric Characteristic - Form</t>
  </si>
  <si>
    <t>Controls how round a circular cross-section must be at any single slice along a feature, evaluated independently at each cross-section rather than over the whole cylinder.</t>
  </si>
  <si>
    <t>https://www.gdandtbasics.com/circularity</t>
  </si>
  <si>
    <t>Concentricity</t>
  </si>
  <si>
    <t>Geometric Characteristic - Location</t>
  </si>
  <si>
    <t>Controls whether the median points of a cylindrical feature share a common axis with a datum axis. It is difficult and costly to inspect, so position or runout are generally preferred alternatives.</t>
  </si>
  <si>
    <t>https://www.gdandtbasics.com/concentricity</t>
  </si>
  <si>
    <t>Conical Taper</t>
  </si>
  <si>
    <t>Defines the ratio of diameter change over length along a conical surface as a single value, replacing two separate angle dimensions.</t>
  </si>
  <si>
    <t>https://www.gdandtbasics.com/conical-taper</t>
  </si>
  <si>
    <t>Continuous Feature</t>
  </si>
  <si>
    <t>Rule</t>
  </si>
  <si>
    <t>Indicates that a set of interrupted surfaces should be treated as one continuous feature under a single tolerance, avoiding the need for separate callouts on each segment.</t>
  </si>
  <si>
    <t>https://www.gdandtbasics.com/continuous-feature</t>
  </si>
  <si>
    <t>Controlled Radius</t>
  </si>
  <si>
    <t>A stricter version of a radius callout requiring a smooth, fair curve with no flats or reversals permitted within the tolerance zone.</t>
  </si>
  <si>
    <t>https://www.gdandtbasics.com/controlled-radius</t>
  </si>
  <si>
    <t>Counterbore</t>
  </si>
  <si>
    <t>Specifies a flat-bottomed, enlarged hole coaxial with a through hole, defining the diameter and depth needed to seat a bolt head or fastener flush with the surface.</t>
  </si>
  <si>
    <t>https://www.gdandtbasics.com/counterbore</t>
  </si>
  <si>
    <t>Countersink</t>
  </si>
  <si>
    <t>Specifies the angle and diameter of a conical countersunk hole, commonly paired with a depth or diameter dimension for flush fastener seating.</t>
  </si>
  <si>
    <t>https://www.gdandtbasics.com/countersink</t>
  </si>
  <si>
    <t>Cylindricity</t>
  </si>
  <si>
    <t>Controls an entire cylindrical surface simultaneously, combining roundness, straightness, and taper into a single tolerance. Stricter and harder to inspect than circularity alone.</t>
  </si>
  <si>
    <t>https://www.gdandtbasics.com/cylindricity</t>
  </si>
  <si>
    <t>Datum Feature</t>
  </si>
  <si>
    <t>Datum Reference</t>
  </si>
  <si>
    <t>Marks a physical feature used to establish a theoretically exact reference point, axis, or plane. Other geometric tolerances on the drawing are measured relative to datum features.</t>
  </si>
  <si>
    <t>https://www.gdandtbasics.com/datum</t>
  </si>
  <si>
    <t>Datum Target</t>
  </si>
  <si>
    <t>Defines specific points, lines, or limited areas used to establish a datum, instead of referencing an entire surface. Used when a surface is too rough or irregular to serve as a full datum feature.</t>
  </si>
  <si>
    <t>https://www.gdandtbasics.com/datum-target</t>
  </si>
  <si>
    <t>Depth Symbol</t>
  </si>
  <si>
    <t>Indicates the depth of a feature such as a hole, slot, or counterbore, replacing the word 'deep' with a compact, unambiguous symbol.</t>
  </si>
  <si>
    <t>https://www.gdandtbasics.com/depth</t>
  </si>
  <si>
    <t>Diameter</t>
  </si>
  <si>
    <t>Indicates that a dimension is a diameter rather than a radius. One of the most frequently used symbols on any drawing containing cylindrical features.</t>
  </si>
  <si>
    <t>https://www.gdandtbasics.com/diameter</t>
  </si>
  <si>
    <t>Dimension Origin</t>
  </si>
  <si>
    <t>Shows that a dimension originates from one specific surface rather than the opposite end, controlling how a tolerance stack should be interpreted in a single direction.</t>
  </si>
  <si>
    <t>https://www.gdandtbasics.com/dimension-origin</t>
  </si>
  <si>
    <t>Envelope Requirement (E Symbol, ISO Only)</t>
  </si>
  <si>
    <t>Modifier</t>
  </si>
  <si>
    <t>An ISO-only symbol that explicitly requires a feature's actual surface to remain within a perfect-form envelope at maximum material condition, similar in intent to ASME Rule #1 but called out explicitly on the drawing.</t>
  </si>
  <si>
    <t>https://www.gdandtbasics.com/envelope_requirement</t>
  </si>
  <si>
    <t>Feature Control Frame</t>
  </si>
  <si>
    <t>Drawing Element</t>
  </si>
  <si>
    <t>The rectangular box that houses a complete geometric tolerance callout, including the characteristic symbol, tolerance value, modifiers, and datum references. Every geometric tolerance is expressed inside one.</t>
  </si>
  <si>
    <t>https://www.gdandtbasics.com/feature-control-frame</t>
  </si>
  <si>
    <t>Flatness</t>
  </si>
  <si>
    <t>Controls how flat a surface must be within a tolerance zone bounded by two parallel planes. It is a form tolerance and does not require a datum reference.</t>
  </si>
  <si>
    <t>https://www.gdandtbasics.com/flatness</t>
  </si>
  <si>
    <t>Free State Symbol</t>
  </si>
  <si>
    <t>Indicates that a measurement is taken with the part unrestrained. Important for flexible or non-rigid parts that deflect under normal clamping or fixturing forces.</t>
  </si>
  <si>
    <t>https://www.gdandtbasics.com/free-state-symbol</t>
  </si>
  <si>
    <t>GD&amp;T Rule #1 (Envelope Principle)</t>
  </si>
  <si>
    <t>A default ASME Y14.5 rule stating that a feature of size must have perfect form when it is produced at its maximum material condition. Understanding it is foundational before applying any size dimension.</t>
  </si>
  <si>
    <t>https://www.gdandtbasics.com/gdt-rule-1</t>
  </si>
  <si>
    <t>Independency</t>
  </si>
  <si>
    <t>An ASME-only symbol that removes the envelope requirement from a feature, allowing form to vary independently of size. This is the opposite intent of Rule #1.</t>
  </si>
  <si>
    <t>https://www.gdandtbasics.com/independency</t>
  </si>
  <si>
    <t>Least Material Condition (LMC)</t>
  </si>
  <si>
    <t>A modifier indicating the condition where a feature contains the minimum amount of material allowed by its size tolerance. Used when wall thickness or material retention is more critical than fit.</t>
  </si>
  <si>
    <t>https://www.gdandtbasics.com/least-material-condition</t>
  </si>
  <si>
    <t>Maximum Material Condition (MMC)</t>
  </si>
  <si>
    <t>A modifier indicating the condition where a feature contains the maximum amount of material allowed by its size tolerance. Can grant bonus tolerance as the feature size departs from this condition.</t>
  </si>
  <si>
    <t>https://www.gdandtbasics.com/maximum-material-condition</t>
  </si>
  <si>
    <t>Multiple Identical Features</t>
  </si>
  <si>
    <t>Indicates that a single tolerance or dimension callout applies to several identical features at once, simplifying drawings by removing repetitive callouts.</t>
  </si>
  <si>
    <t>https://www.gdandtbasics.com/multiple-identical-features</t>
  </si>
  <si>
    <t>Parallelism</t>
  </si>
  <si>
    <t>Controls a surface or axis so it stays exactly parallel to a referenced datum, with zero degrees implied and no basic angle dimension required.</t>
  </si>
  <si>
    <t>https://www.gdandtbasics.com/parallelism</t>
  </si>
  <si>
    <t>Parting Line</t>
  </si>
  <si>
    <t>Manufacturing Note</t>
  </si>
  <si>
    <t>Identifies the dividing line on a molded or cast part where mold halves or die sections meet. It functions as a manufacturing note rather than a geometric control.</t>
  </si>
  <si>
    <t>https://www.gdandtbasics.com/parting-line</t>
  </si>
  <si>
    <t>Perpendicularity</t>
  </si>
  <si>
    <t>Controls a surface or axis so that it is held at exactly 90 degrees relative to a datum. This is the formal GD&amp;T definition of squareness.</t>
  </si>
  <si>
    <t>https://www.gdandtbasics.com/perpendicularity</t>
  </si>
  <si>
    <t>Profile of a Line</t>
  </si>
  <si>
    <t>Geometric Characteristic - Profile</t>
  </si>
  <si>
    <t>Defines a two-dimensional tolerance zone along a curved line or single cross-section, functioning like profile of a surface but applied one slice at a time.</t>
  </si>
  <si>
    <t>https://www.gdandtbasics.com/profile-of-a-line</t>
  </si>
  <si>
    <t>Profile of a Surface</t>
  </si>
  <si>
    <t>Establishes a three-dimensional tolerance zone that follows the true shape of a surface, useful for controlling complex or freeform geometry.</t>
  </si>
  <si>
    <t>https://www.gdandtbasics.com/profile-of-a-surface</t>
  </si>
  <si>
    <t>Projected Tolerance Zone</t>
  </si>
  <si>
    <t>Extends a tolerance zone beyond the physical feature itself, typically projected above a threaded hole, to control where a mating fastener will actually sit rather than just the hole geometry.</t>
  </si>
  <si>
    <t>https://www.gdandtbasics.com/projected-tolerance-zone</t>
  </si>
  <si>
    <t>Radius</t>
  </si>
  <si>
    <t>Defines a radius tolerance zone within which a curved edge must fall between two arc boundaries, allowing minor waviness within that zone.</t>
  </si>
  <si>
    <t>https://www.gdandtbasics.com/radius</t>
  </si>
  <si>
    <t>Regardless of Feature Size (RFS)</t>
  </si>
  <si>
    <t>The default tolerancing condition where the specified tolerance applies no matter the feature's actual size, with no bonus tolerance granted. Stricter than MMC or LMC.</t>
  </si>
  <si>
    <t>https://www.gdandtbasics.com/regardless-of-feature-size</t>
  </si>
  <si>
    <t>Restrained Condition Note</t>
  </si>
  <si>
    <t>Specifies that a part must be measured while held in a defined restrained state, used when in-service loads or fixturing are expected to affect the measured geometry.</t>
  </si>
  <si>
    <t>https://www.gdandtbasics.com/restrained-condition</t>
  </si>
  <si>
    <t>Runout (Circular Runout)</t>
  </si>
  <si>
    <t>Geometric Characteristic - Runout</t>
  </si>
  <si>
    <t>Controls surface variation relative to a datum axis as a part is rotated, measured independently at each cross-section. Simpler and more common than total runout.</t>
  </si>
  <si>
    <t>https://www.gdandtbasics.com/runout</t>
  </si>
  <si>
    <t>Slope</t>
  </si>
  <si>
    <t>Defines the rate of change of a flat, tapered surface, serving the same purpose for flat features that conical taper serves for round ones.</t>
  </si>
  <si>
    <t>https://www.gdandtbasics.com/slope-modifying-symbol</t>
  </si>
  <si>
    <t>Spherical Diameter</t>
  </si>
  <si>
    <t>Controls the diameter of a full spherical feature; the S-diameter prefix distinguishes it from a standard cylindrical diameter callout.</t>
  </si>
  <si>
    <t>https://www.gdandtbasics.com/spherical-diameter</t>
  </si>
  <si>
    <t>Spherical Radius</t>
  </si>
  <si>
    <t>Applies a radius tolerance to a spherical surface, functioning like a standard radius callout but extended in all directions around the sphere.</t>
  </si>
  <si>
    <t>https://www.gdandtbasics.com/spherical-radius</t>
  </si>
  <si>
    <t>Spotface</t>
  </si>
  <si>
    <t>A very shallow counterbore used to create a clean, flat bearing surface, commonly applied on cast or rough parts where a fastener needs a flat seat.</t>
  </si>
  <si>
    <t>https://www.gdandtbasics.com/spotface</t>
  </si>
  <si>
    <t>Square</t>
  </si>
  <si>
    <t>Indicates a square cross-section defined by a single dimension, saving drawing space since both equal sides are covered by one callout.</t>
  </si>
  <si>
    <t>https://www.gdandtbasics.com/square</t>
  </si>
  <si>
    <t>Straightness</t>
  </si>
  <si>
    <t>Controls how straight a line element of a surface, or the derived axis of a feature, must be. Whether it is applied to a surface line or an axis changes its interpretation significantly.</t>
  </si>
  <si>
    <t>https://www.gdandtbasics.com/straightness</t>
  </si>
  <si>
    <t>Symmetry</t>
  </si>
  <si>
    <t>Controls whether the median points of a feature are symmetrically distributed about a datum plane. Like concentricity, it is rarely the preferred choice; position is usually recommended instead.</t>
  </si>
  <si>
    <t>https://www.gdandtbasics.com/symmetry</t>
  </si>
  <si>
    <t>Tangent Plane</t>
  </si>
  <si>
    <t>Applies a tolerance to the plane tangent to a surface's high points rather than to the entire surface, used when contact at mating points matters more than the overall surface form.</t>
  </si>
  <si>
    <t>https://www.gdandtbasics.com/tangent-plane</t>
  </si>
  <si>
    <t>Total Runout</t>
  </si>
  <si>
    <t>Controls an entire surface relative to a datum axis in a single simultaneous evaluation as the part rotates, rather than at individual cross-sections. More comprehensive and harder to achieve than circular runout.</t>
  </si>
  <si>
    <t>https://www.gdandtbasics.com/total-runout</t>
  </si>
  <si>
    <t>True Position (Position Tolerance)</t>
  </si>
  <si>
    <t>Defines the exact allowable location of a feature relative to datums, typically using a circular or cylindrical tolerance zone. Commonly paired with Maximum Material Condition and is the most frequently used geometric tolerance in practice.</t>
  </si>
  <si>
    <t>https://www.gdandtbasics.com/true-position</t>
  </si>
  <si>
    <t>Unequally Disposed Profile</t>
  </si>
  <si>
    <t>Shifts a profile tolerance zone so it is weighted more heavily to one side of the true profile than the other, useful when stock removal or coating thickness affects the functional surface.</t>
  </si>
  <si>
    <t>https://www.gdandtbasics.com/unequally-disposed-profile</t>
  </si>
  <si>
    <t>Char #</t>
  </si>
  <si>
    <t>Reference Location
(Zone / Balloon #)</t>
  </si>
  <si>
    <t>Characteristic Description</t>
  </si>
  <si>
    <t>GD&amp;T / Dimension Type</t>
  </si>
  <si>
    <t>Nominal</t>
  </si>
  <si>
    <t>Upper Tol (+)</t>
  </si>
  <si>
    <t>Lower Tol (−)</t>
  </si>
  <si>
    <t>Measured Value</t>
  </si>
  <si>
    <t>Result</t>
  </si>
  <si>
    <t>Measurement Equipment</t>
  </si>
  <si>
    <t>Comments</t>
  </si>
  <si>
    <t>Zone B3 / Balloon 1</t>
  </si>
  <si>
    <t>Bore diameter</t>
  </si>
  <si>
    <t>CMM</t>
  </si>
  <si>
    <t>Example row — delete before use</t>
  </si>
  <si>
    <t>FAI Result Summary</t>
  </si>
  <si>
    <t>Total Characteristics</t>
  </si>
  <si>
    <t>Passed</t>
  </si>
  <si>
    <t>Failed</t>
  </si>
  <si>
    <t>Incomplete</t>
  </si>
  <si>
    <t>Overall Disposition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</si>
</sst>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charset val="1"/>
    </font>
    <font>
      <b/>
      <sz val="14"/>
      <color rgb="FF0976A6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0976A6"/>
      <name val="Arial"/>
      <charset val="1"/>
    </font>
    <font>
      <i/>
      <sz val="9"/>
      <color rgb="FF777777"/>
      <name val="Arial"/>
      <charset val="1"/>
    </font>
    <font>
      <b/>
      <sz val="12"/>
      <color rgb="FFAAAAAA"/>
      <name val="Arial"/>
      <charset val="1"/>
    </font>
    <font>
      <b/>
      <sz val="11"/>
      <color rgb="FFFFFFFF"/>
      <name val="Arial"/>
      <charset val="1"/>
    </font>
    <font>
      <sz val="9"/>
      <color rgb="FF0563C1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7F0"/>
        <bgColor rgb="FFE7E6E6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0976A6"/>
        <bgColor rgb="FF008080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dashed">
        <color rgb="FFAAAAAA"/>
      </left>
      <right style="dashed">
        <color rgb="FFAAAAAA"/>
      </right>
      <top style="dashed">
        <color rgb="FFAAAAAA"/>
      </top>
      <bottom style="dashed">
        <color rgb="FFAAAAA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4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2" fillId="3" borderId="2" xfId="0" applyFont="1" applyFill="1" applyBorder="1"/>
    <xf numFmtId="0" fontId="5" fillId="0" borderId="0" xfId="0" applyFont="1"/>
    <xf numFmtId="0" fontId="4" fillId="2" borderId="0" xfId="0" applyFont="1" applyFill="1"/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7" fillId="5" borderId="0" xfId="0" applyFont="1" applyFill="1" applyAlignment="1">
      <alignment horizontal="center" vertical="center" wrapText="1"/>
    </xf>
    <xf numFmtId="0" fontId="2" fillId="0" borderId="0" xfId="0" applyFont="1"/>
    <xf numFmtId="0" fontId="8" fillId="0" borderId="0" xfId="0" applyFont="1"/>
    <xf numFmtId="0" fontId="7" fillId="5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5" fillId="3" borderId="1" xfId="0" applyFont="1" applyFill="1" applyBorder="1"/>
    <xf numFmtId="0" fontId="3" fillId="0" borderId="0" xfId="0" applyFont="1"/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E7E6E6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76A6"/>
      <rgbColor rgb="FFAAAAAA"/>
      <rgbColor rgb="FF777777"/>
      <rgbColor rgb="FF9999FF"/>
      <rgbColor rgb="FF993366"/>
      <rgbColor rgb="FFF2F2F2"/>
      <rgbColor rgb="FFD9E7F0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topLeftCell="A5" zoomScaleNormal="100" workbookViewId="0"/>
  </sheetViews>
  <sheetFormatPr defaultColWidth="8.6640625" defaultRowHeight="14.4" x14ac:dyDescent="0.3"/>
  <cols>
    <col min="1" max="1" width="100" customWidth="1"/>
  </cols>
  <sheetData>
    <row r="1" spans="1:1" ht="24" customHeight="1" x14ac:dyDescent="0.3">
      <c r="A1" s="7" t="s">
        <v>0</v>
      </c>
    </row>
    <row r="2" spans="1:1" x14ac:dyDescent="0.3">
      <c r="A2" s="8"/>
    </row>
    <row r="3" spans="1:1" x14ac:dyDescent="0.3">
      <c r="A3" s="9" t="s">
        <v>1</v>
      </c>
    </row>
    <row r="4" spans="1:1" ht="66" x14ac:dyDescent="0.3">
      <c r="A4" s="8" t="s">
        <v>2</v>
      </c>
    </row>
    <row r="5" spans="1:1" x14ac:dyDescent="0.3">
      <c r="A5" s="8"/>
    </row>
    <row r="6" spans="1:1" x14ac:dyDescent="0.3">
      <c r="A6" s="9" t="s">
        <v>3</v>
      </c>
    </row>
    <row r="7" spans="1:1" x14ac:dyDescent="0.3">
      <c r="A7" s="8" t="s">
        <v>4</v>
      </c>
    </row>
    <row r="8" spans="1:1" ht="26.4" x14ac:dyDescent="0.3">
      <c r="A8" s="8" t="s">
        <v>5</v>
      </c>
    </row>
    <row r="9" spans="1:1" ht="39.6" x14ac:dyDescent="0.3">
      <c r="A9" s="8" t="s">
        <v>6</v>
      </c>
    </row>
    <row r="10" spans="1:1" x14ac:dyDescent="0.3">
      <c r="A10" s="8" t="s">
        <v>7</v>
      </c>
    </row>
    <row r="11" spans="1:1" x14ac:dyDescent="0.3">
      <c r="A11" s="8"/>
    </row>
    <row r="12" spans="1:1" x14ac:dyDescent="0.3">
      <c r="A12" s="9" t="s">
        <v>8</v>
      </c>
    </row>
    <row r="13" spans="1:1" ht="52.8" x14ac:dyDescent="0.3">
      <c r="A13" s="8" t="s">
        <v>9</v>
      </c>
    </row>
    <row r="14" spans="1:1" x14ac:dyDescent="0.3">
      <c r="A14" s="8"/>
    </row>
    <row r="15" spans="1:1" x14ac:dyDescent="0.3">
      <c r="A15" s="8" t="s">
        <v>10</v>
      </c>
    </row>
    <row r="16" spans="1:1" x14ac:dyDescent="0.3">
      <c r="A16" s="8" t="s">
        <v>11</v>
      </c>
    </row>
    <row r="17" spans="1:1" x14ac:dyDescent="0.3">
      <c r="A17" s="9" t="s">
        <v>12</v>
      </c>
    </row>
    <row r="18" spans="1:1" x14ac:dyDescent="0.3">
      <c r="A18" s="8" t="s">
        <v>13</v>
      </c>
    </row>
    <row r="19" spans="1:1" x14ac:dyDescent="0.3">
      <c r="A19" s="8"/>
    </row>
    <row r="20" spans="1:1" x14ac:dyDescent="0.3">
      <c r="A20" s="8" t="s">
        <v>14</v>
      </c>
    </row>
    <row r="21" spans="1:1" ht="26.4" x14ac:dyDescent="0.3">
      <c r="A21" s="8" t="s">
        <v>15</v>
      </c>
    </row>
    <row r="22" spans="1:1" ht="26.4" x14ac:dyDescent="0.3">
      <c r="A22" s="9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2"/>
  <sheetViews>
    <sheetView showGridLines="0" zoomScale="85" zoomScaleNormal="85" workbookViewId="0">
      <pane ySplit="1" topLeftCell="A2" activePane="bottomLeft" state="frozen"/>
      <selection pane="bottomLeft" activeCell="D14" sqref="D14"/>
    </sheetView>
  </sheetViews>
  <sheetFormatPr defaultColWidth="8.6640625" defaultRowHeight="14.4" x14ac:dyDescent="0.3"/>
  <cols>
    <col min="1" max="1" width="26" customWidth="1"/>
    <col min="2" max="2" width="30" customWidth="1"/>
    <col min="3" max="3" width="26" customWidth="1"/>
    <col min="4" max="4" width="30" customWidth="1"/>
    <col min="5" max="5" width="34" customWidth="1"/>
    <col min="6" max="8" width="14" customWidth="1"/>
  </cols>
  <sheetData>
    <row r="1" spans="1:5" ht="24" customHeight="1" x14ac:dyDescent="0.3">
      <c r="A1" s="6" t="s">
        <v>17</v>
      </c>
      <c r="B1" s="6"/>
      <c r="C1" s="6"/>
      <c r="D1" s="6"/>
      <c r="E1" s="6"/>
    </row>
    <row r="3" spans="1:5" ht="15.6" x14ac:dyDescent="0.3">
      <c r="A3" s="5" t="s">
        <v>18</v>
      </c>
      <c r="B3" s="5"/>
      <c r="C3" s="5"/>
      <c r="D3" s="5"/>
      <c r="E3" s="5"/>
    </row>
    <row r="4" spans="1:5" ht="30" customHeight="1" x14ac:dyDescent="0.3">
      <c r="A4" s="10" t="s">
        <v>19</v>
      </c>
      <c r="B4" s="11"/>
      <c r="C4" s="10" t="s">
        <v>20</v>
      </c>
      <c r="D4" s="11"/>
    </row>
    <row r="5" spans="1:5" ht="30" customHeight="1" x14ac:dyDescent="0.3">
      <c r="A5" s="10" t="s">
        <v>21</v>
      </c>
      <c r="B5" s="11"/>
      <c r="C5" s="10" t="s">
        <v>22</v>
      </c>
      <c r="D5" s="11"/>
    </row>
    <row r="6" spans="1:5" ht="30" customHeight="1" x14ac:dyDescent="0.3">
      <c r="A6" s="10" t="s">
        <v>23</v>
      </c>
      <c r="B6" s="11"/>
      <c r="C6" s="10" t="s">
        <v>24</v>
      </c>
      <c r="D6" s="11"/>
    </row>
    <row r="7" spans="1:5" ht="30" customHeight="1" x14ac:dyDescent="0.3">
      <c r="A7" s="10" t="s">
        <v>25</v>
      </c>
      <c r="B7" s="11"/>
      <c r="C7" s="10" t="s">
        <v>26</v>
      </c>
      <c r="D7" s="11"/>
    </row>
    <row r="8" spans="1:5" ht="30" customHeight="1" x14ac:dyDescent="0.3">
      <c r="A8" s="10" t="s">
        <v>27</v>
      </c>
      <c r="B8" s="11"/>
      <c r="C8" s="10" t="s">
        <v>28</v>
      </c>
      <c r="D8" s="11"/>
    </row>
    <row r="9" spans="1:5" ht="30" customHeight="1" x14ac:dyDescent="0.3">
      <c r="A9" s="10" t="s">
        <v>29</v>
      </c>
      <c r="B9" s="11"/>
      <c r="C9" s="10" t="s">
        <v>30</v>
      </c>
      <c r="D9" s="11"/>
    </row>
    <row r="10" spans="1:5" ht="30" customHeight="1" x14ac:dyDescent="0.3">
      <c r="A10" s="10" t="s">
        <v>31</v>
      </c>
      <c r="B10" s="11"/>
      <c r="C10" s="10" t="s">
        <v>32</v>
      </c>
      <c r="D10" s="11"/>
    </row>
    <row r="11" spans="1:5" ht="30" customHeight="1" x14ac:dyDescent="0.3">
      <c r="A11" s="10" t="s">
        <v>33</v>
      </c>
      <c r="B11" s="11"/>
      <c r="C11" s="10" t="s">
        <v>34</v>
      </c>
      <c r="D11" s="11"/>
    </row>
    <row r="12" spans="1:5" ht="30" customHeight="1" x14ac:dyDescent="0.3">
      <c r="A12" s="10" t="s">
        <v>35</v>
      </c>
      <c r="B12" s="11"/>
      <c r="C12" s="10" t="s">
        <v>36</v>
      </c>
      <c r="D12" s="11"/>
    </row>
    <row r="13" spans="1:5" ht="30" customHeight="1" x14ac:dyDescent="0.3">
      <c r="A13" s="10" t="s">
        <v>37</v>
      </c>
      <c r="B13" s="11"/>
      <c r="C13" s="10" t="s">
        <v>38</v>
      </c>
      <c r="D13" s="11"/>
    </row>
    <row r="14" spans="1:5" ht="30" customHeight="1" x14ac:dyDescent="0.3">
      <c r="A14" s="10" t="s">
        <v>39</v>
      </c>
      <c r="B14" s="11"/>
      <c r="C14" s="10" t="s">
        <v>40</v>
      </c>
      <c r="D14" s="11"/>
    </row>
    <row r="15" spans="1:5" ht="30" customHeight="1" x14ac:dyDescent="0.3">
      <c r="A15" s="10" t="s">
        <v>41</v>
      </c>
      <c r="B15" s="11"/>
      <c r="C15" s="10"/>
      <c r="D15" s="12"/>
    </row>
    <row r="16" spans="1:5" x14ac:dyDescent="0.3">
      <c r="A16" s="4" t="s">
        <v>42</v>
      </c>
      <c r="B16" s="4"/>
      <c r="C16" s="4"/>
      <c r="D16" s="4"/>
    </row>
    <row r="18" spans="1:8" ht="15.6" x14ac:dyDescent="0.3">
      <c r="A18" s="5" t="s">
        <v>43</v>
      </c>
      <c r="B18" s="5"/>
      <c r="C18" s="5"/>
      <c r="D18" s="5"/>
      <c r="E18" s="5"/>
    </row>
    <row r="19" spans="1:8" x14ac:dyDescent="0.3">
      <c r="A19" s="13" t="s">
        <v>44</v>
      </c>
      <c r="B19" s="3"/>
      <c r="C19" s="3"/>
      <c r="D19" s="3"/>
      <c r="E19" s="3"/>
    </row>
    <row r="20" spans="1:8" ht="27.75" customHeight="1" x14ac:dyDescent="0.3">
      <c r="A20" s="2" t="s">
        <v>45</v>
      </c>
      <c r="B20" s="2"/>
      <c r="C20" s="2"/>
      <c r="D20" s="2"/>
      <c r="E20" s="2"/>
    </row>
    <row r="21" spans="1:8" ht="18" customHeight="1" x14ac:dyDescent="0.3">
      <c r="A21" s="1" t="s">
        <v>46</v>
      </c>
      <c r="B21" s="1"/>
      <c r="C21" s="1"/>
      <c r="D21" s="1"/>
      <c r="E21" s="1"/>
      <c r="F21" s="1"/>
      <c r="G21" s="1"/>
      <c r="H21" s="1"/>
    </row>
    <row r="22" spans="1:8" ht="18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18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18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18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18" customHeight="1" x14ac:dyDescent="0.3">
      <c r="A26" s="1"/>
      <c r="B26" s="1"/>
      <c r="C26" s="1"/>
      <c r="D26" s="1"/>
      <c r="E26" s="1"/>
      <c r="F26" s="1"/>
      <c r="G26" s="1"/>
      <c r="H26" s="1"/>
    </row>
    <row r="27" spans="1:8" ht="18" customHeight="1" x14ac:dyDescent="0.3">
      <c r="A27" s="1"/>
      <c r="B27" s="1"/>
      <c r="C27" s="1"/>
      <c r="D27" s="1"/>
      <c r="E27" s="1"/>
      <c r="F27" s="1"/>
      <c r="G27" s="1"/>
      <c r="H27" s="1"/>
    </row>
    <row r="28" spans="1:8" ht="18" customHeight="1" x14ac:dyDescent="0.3">
      <c r="A28" s="1"/>
      <c r="B28" s="1"/>
      <c r="C28" s="1"/>
      <c r="D28" s="1"/>
      <c r="E28" s="1"/>
      <c r="F28" s="1"/>
      <c r="G28" s="1"/>
      <c r="H28" s="1"/>
    </row>
    <row r="29" spans="1:8" ht="18" customHeight="1" x14ac:dyDescent="0.3">
      <c r="A29" s="1"/>
      <c r="B29" s="1"/>
      <c r="C29" s="1"/>
      <c r="D29" s="1"/>
      <c r="E29" s="1"/>
      <c r="F29" s="1"/>
      <c r="G29" s="1"/>
      <c r="H29" s="1"/>
    </row>
    <row r="30" spans="1:8" ht="18" customHeight="1" x14ac:dyDescent="0.3">
      <c r="A30" s="1"/>
      <c r="B30" s="1"/>
      <c r="C30" s="1"/>
      <c r="D30" s="1"/>
      <c r="E30" s="1"/>
      <c r="F30" s="1"/>
      <c r="G30" s="1"/>
      <c r="H30" s="1"/>
    </row>
    <row r="31" spans="1:8" ht="18" customHeight="1" x14ac:dyDescent="0.3">
      <c r="A31" s="1"/>
      <c r="B31" s="1"/>
      <c r="C31" s="1"/>
      <c r="D31" s="1"/>
      <c r="E31" s="1"/>
      <c r="F31" s="1"/>
      <c r="G31" s="1"/>
      <c r="H31" s="1"/>
    </row>
    <row r="32" spans="1:8" ht="18" customHeight="1" x14ac:dyDescent="0.3">
      <c r="A32" s="1"/>
      <c r="B32" s="1"/>
      <c r="C32" s="1"/>
      <c r="D32" s="1"/>
      <c r="E32" s="1"/>
      <c r="F32" s="1"/>
      <c r="G32" s="1"/>
      <c r="H32" s="1"/>
    </row>
    <row r="33" spans="1:8" ht="18" customHeight="1" x14ac:dyDescent="0.3">
      <c r="A33" s="1"/>
      <c r="B33" s="1"/>
      <c r="C33" s="1"/>
      <c r="D33" s="1"/>
      <c r="E33" s="1"/>
      <c r="F33" s="1"/>
      <c r="G33" s="1"/>
      <c r="H33" s="1"/>
    </row>
    <row r="34" spans="1:8" ht="18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18" customHeight="1" x14ac:dyDescent="0.3">
      <c r="A35" s="1"/>
      <c r="B35" s="1"/>
      <c r="C35" s="1"/>
      <c r="D35" s="1"/>
      <c r="E35" s="1"/>
      <c r="F35" s="1"/>
      <c r="G35" s="1"/>
      <c r="H35" s="1"/>
    </row>
    <row r="36" spans="1:8" ht="18" customHeight="1" x14ac:dyDescent="0.3">
      <c r="A36" s="1"/>
      <c r="B36" s="1"/>
      <c r="C36" s="1"/>
      <c r="D36" s="1"/>
      <c r="E36" s="1"/>
      <c r="F36" s="1"/>
      <c r="G36" s="1"/>
      <c r="H36" s="1"/>
    </row>
    <row r="37" spans="1:8" ht="18" customHeight="1" x14ac:dyDescent="0.3">
      <c r="A37" s="1"/>
      <c r="B37" s="1"/>
      <c r="C37" s="1"/>
      <c r="D37" s="1"/>
      <c r="E37" s="1"/>
      <c r="F37" s="1"/>
      <c r="G37" s="1"/>
      <c r="H37" s="1"/>
    </row>
    <row r="38" spans="1:8" ht="18" customHeight="1" x14ac:dyDescent="0.3">
      <c r="A38" s="1"/>
      <c r="B38" s="1"/>
      <c r="C38" s="1"/>
      <c r="D38" s="1"/>
      <c r="E38" s="1"/>
      <c r="F38" s="1"/>
      <c r="G38" s="1"/>
      <c r="H38" s="1"/>
    </row>
    <row r="39" spans="1:8" ht="18" customHeight="1" x14ac:dyDescent="0.3">
      <c r="A39" s="1"/>
      <c r="B39" s="1"/>
      <c r="C39" s="1"/>
      <c r="D39" s="1"/>
      <c r="E39" s="1"/>
      <c r="F39" s="1"/>
      <c r="G39" s="1"/>
      <c r="H39" s="1"/>
    </row>
    <row r="40" spans="1:8" ht="18" customHeight="1" x14ac:dyDescent="0.3">
      <c r="A40" s="1"/>
      <c r="B40" s="1"/>
      <c r="C40" s="1"/>
      <c r="D40" s="1"/>
      <c r="E40" s="1"/>
      <c r="F40" s="1"/>
      <c r="G40" s="1"/>
      <c r="H40" s="1"/>
    </row>
    <row r="41" spans="1:8" ht="18" customHeight="1" x14ac:dyDescent="0.3">
      <c r="A41" s="1"/>
      <c r="B41" s="1"/>
      <c r="C41" s="1"/>
      <c r="D41" s="1"/>
      <c r="E41" s="1"/>
      <c r="F41" s="1"/>
      <c r="G41" s="1"/>
      <c r="H41" s="1"/>
    </row>
    <row r="42" spans="1:8" ht="18" customHeight="1" x14ac:dyDescent="0.3">
      <c r="A42" s="1"/>
      <c r="B42" s="1"/>
      <c r="C42" s="1"/>
      <c r="D42" s="1"/>
      <c r="E42" s="1"/>
      <c r="F42" s="1"/>
      <c r="G42" s="1"/>
      <c r="H42" s="1"/>
    </row>
    <row r="43" spans="1:8" ht="18" customHeight="1" x14ac:dyDescent="0.3">
      <c r="A43" s="1"/>
      <c r="B43" s="1"/>
      <c r="C43" s="1"/>
      <c r="D43" s="1"/>
      <c r="E43" s="1"/>
      <c r="F43" s="1"/>
      <c r="G43" s="1"/>
      <c r="H43" s="1"/>
    </row>
    <row r="44" spans="1:8" ht="18" customHeight="1" x14ac:dyDescent="0.3">
      <c r="A44" s="1"/>
      <c r="B44" s="1"/>
      <c r="C44" s="1"/>
      <c r="D44" s="1"/>
      <c r="E44" s="1"/>
      <c r="F44" s="1"/>
      <c r="G44" s="1"/>
      <c r="H44" s="1"/>
    </row>
    <row r="46" spans="1:8" ht="15.6" x14ac:dyDescent="0.3">
      <c r="A46" s="5" t="s">
        <v>47</v>
      </c>
      <c r="B46" s="5"/>
      <c r="C46" s="5"/>
      <c r="D46" s="5"/>
      <c r="E46" s="5"/>
    </row>
    <row r="47" spans="1:8" x14ac:dyDescent="0.3">
      <c r="A47" s="14" t="s">
        <v>48</v>
      </c>
      <c r="B47" s="14" t="s">
        <v>49</v>
      </c>
      <c r="C47" s="14" t="s">
        <v>50</v>
      </c>
      <c r="D47" s="14" t="s">
        <v>51</v>
      </c>
      <c r="E47" s="14" t="s">
        <v>52</v>
      </c>
    </row>
    <row r="48" spans="1:8" ht="66" x14ac:dyDescent="0.3">
      <c r="A48" s="15" t="s">
        <v>53</v>
      </c>
      <c r="B48" s="15" t="s">
        <v>54</v>
      </c>
      <c r="C48" s="15" t="s">
        <v>55</v>
      </c>
      <c r="D48" s="8" t="s">
        <v>56</v>
      </c>
      <c r="E48" s="16" t="s">
        <v>57</v>
      </c>
    </row>
    <row r="49" spans="1:5" ht="52.8" x14ac:dyDescent="0.3">
      <c r="A49" s="15" t="s">
        <v>58</v>
      </c>
      <c r="B49" s="15" t="s">
        <v>59</v>
      </c>
      <c r="C49" s="15" t="s">
        <v>60</v>
      </c>
      <c r="D49" s="8" t="s">
        <v>61</v>
      </c>
      <c r="E49" s="16" t="s">
        <v>62</v>
      </c>
    </row>
    <row r="50" spans="1:5" ht="79.2" x14ac:dyDescent="0.3">
      <c r="A50" s="15" t="s">
        <v>63</v>
      </c>
      <c r="B50" s="15" t="s">
        <v>64</v>
      </c>
      <c r="C50" s="15" t="s">
        <v>60</v>
      </c>
      <c r="D50" s="8" t="s">
        <v>65</v>
      </c>
      <c r="E50" s="16" t="s">
        <v>66</v>
      </c>
    </row>
    <row r="51" spans="1:5" ht="79.2" x14ac:dyDescent="0.3">
      <c r="A51" s="15" t="s">
        <v>67</v>
      </c>
      <c r="B51" s="15" t="s">
        <v>68</v>
      </c>
      <c r="C51" s="15" t="s">
        <v>55</v>
      </c>
      <c r="D51" s="8" t="s">
        <v>69</v>
      </c>
      <c r="E51" s="16" t="s">
        <v>70</v>
      </c>
    </row>
    <row r="52" spans="1:5" ht="66" x14ac:dyDescent="0.3">
      <c r="A52" s="15" t="s">
        <v>71</v>
      </c>
      <c r="B52" s="15" t="s">
        <v>59</v>
      </c>
      <c r="C52" s="15" t="s">
        <v>60</v>
      </c>
      <c r="D52" s="8" t="s">
        <v>72</v>
      </c>
      <c r="E52" s="16" t="s">
        <v>73</v>
      </c>
    </row>
    <row r="53" spans="1:5" ht="79.2" x14ac:dyDescent="0.3">
      <c r="A53" s="15" t="s">
        <v>74</v>
      </c>
      <c r="B53" s="15" t="s">
        <v>75</v>
      </c>
      <c r="C53" s="15" t="s">
        <v>60</v>
      </c>
      <c r="D53" s="8" t="s">
        <v>76</v>
      </c>
      <c r="E53" s="16" t="s">
        <v>77</v>
      </c>
    </row>
    <row r="54" spans="1:5" ht="66" x14ac:dyDescent="0.3">
      <c r="A54" s="15" t="s">
        <v>78</v>
      </c>
      <c r="B54" s="15" t="s">
        <v>59</v>
      </c>
      <c r="C54" s="15" t="s">
        <v>60</v>
      </c>
      <c r="D54" s="8" t="s">
        <v>79</v>
      </c>
      <c r="E54" s="16" t="s">
        <v>80</v>
      </c>
    </row>
    <row r="55" spans="1:5" ht="66" x14ac:dyDescent="0.3">
      <c r="A55" s="15" t="s">
        <v>81</v>
      </c>
      <c r="B55" s="15" t="s">
        <v>59</v>
      </c>
      <c r="C55" s="15" t="s">
        <v>60</v>
      </c>
      <c r="D55" s="8" t="s">
        <v>82</v>
      </c>
      <c r="E55" s="16" t="s">
        <v>83</v>
      </c>
    </row>
    <row r="56" spans="1:5" ht="66" x14ac:dyDescent="0.3">
      <c r="A56" s="15" t="s">
        <v>84</v>
      </c>
      <c r="B56" s="15" t="s">
        <v>59</v>
      </c>
      <c r="C56" s="15" t="s">
        <v>60</v>
      </c>
      <c r="D56" s="8" t="s">
        <v>85</v>
      </c>
      <c r="E56" s="16" t="s">
        <v>86</v>
      </c>
    </row>
    <row r="57" spans="1:5" ht="79.2" x14ac:dyDescent="0.3">
      <c r="A57" s="15" t="s">
        <v>87</v>
      </c>
      <c r="B57" s="15" t="s">
        <v>64</v>
      </c>
      <c r="C57" s="15" t="s">
        <v>60</v>
      </c>
      <c r="D57" s="8" t="s">
        <v>88</v>
      </c>
      <c r="E57" s="16" t="s">
        <v>89</v>
      </c>
    </row>
    <row r="58" spans="1:5" ht="79.2" x14ac:dyDescent="0.3">
      <c r="A58" s="15" t="s">
        <v>90</v>
      </c>
      <c r="B58" s="15" t="s">
        <v>91</v>
      </c>
      <c r="C58" s="15" t="s">
        <v>60</v>
      </c>
      <c r="D58" s="8" t="s">
        <v>92</v>
      </c>
      <c r="E58" s="16" t="s">
        <v>93</v>
      </c>
    </row>
    <row r="59" spans="1:5" ht="79.2" x14ac:dyDescent="0.3">
      <c r="A59" s="15" t="s">
        <v>94</v>
      </c>
      <c r="B59" s="15" t="s">
        <v>91</v>
      </c>
      <c r="C59" s="15" t="s">
        <v>60</v>
      </c>
      <c r="D59" s="8" t="s">
        <v>95</v>
      </c>
      <c r="E59" s="16" t="s">
        <v>96</v>
      </c>
    </row>
    <row r="60" spans="1:5" ht="66" x14ac:dyDescent="0.3">
      <c r="A60" s="15" t="s">
        <v>97</v>
      </c>
      <c r="B60" s="15" t="s">
        <v>59</v>
      </c>
      <c r="C60" s="15" t="s">
        <v>60</v>
      </c>
      <c r="D60" s="8" t="s">
        <v>98</v>
      </c>
      <c r="E60" s="16" t="s">
        <v>99</v>
      </c>
    </row>
    <row r="61" spans="1:5" ht="66" x14ac:dyDescent="0.3">
      <c r="A61" s="15" t="s">
        <v>100</v>
      </c>
      <c r="B61" s="15" t="s">
        <v>59</v>
      </c>
      <c r="C61" s="15" t="s">
        <v>60</v>
      </c>
      <c r="D61" s="8" t="s">
        <v>101</v>
      </c>
      <c r="E61" s="16" t="s">
        <v>102</v>
      </c>
    </row>
    <row r="62" spans="1:5" ht="66" x14ac:dyDescent="0.3">
      <c r="A62" s="15" t="s">
        <v>103</v>
      </c>
      <c r="B62" s="15" t="s">
        <v>59</v>
      </c>
      <c r="C62" s="15" t="s">
        <v>60</v>
      </c>
      <c r="D62" s="8" t="s">
        <v>104</v>
      </c>
      <c r="E62" s="16" t="s">
        <v>105</v>
      </c>
    </row>
    <row r="63" spans="1:5" ht="92.4" x14ac:dyDescent="0.3">
      <c r="A63" s="15" t="s">
        <v>106</v>
      </c>
      <c r="B63" s="15" t="s">
        <v>107</v>
      </c>
      <c r="C63" s="15" t="s">
        <v>60</v>
      </c>
      <c r="D63" s="8" t="s">
        <v>108</v>
      </c>
      <c r="E63" s="16" t="s">
        <v>109</v>
      </c>
    </row>
    <row r="64" spans="1:5" ht="92.4" x14ac:dyDescent="0.3">
      <c r="A64" s="15" t="s">
        <v>110</v>
      </c>
      <c r="B64" s="15" t="s">
        <v>111</v>
      </c>
      <c r="C64" s="15" t="s">
        <v>60</v>
      </c>
      <c r="D64" s="8" t="s">
        <v>112</v>
      </c>
      <c r="E64" s="16" t="s">
        <v>113</v>
      </c>
    </row>
    <row r="65" spans="1:5" ht="66" x14ac:dyDescent="0.3">
      <c r="A65" s="15" t="s">
        <v>114</v>
      </c>
      <c r="B65" s="15" t="s">
        <v>64</v>
      </c>
      <c r="C65" s="15" t="s">
        <v>60</v>
      </c>
      <c r="D65" s="8" t="s">
        <v>115</v>
      </c>
      <c r="E65" s="16" t="s">
        <v>116</v>
      </c>
    </row>
    <row r="66" spans="1:5" ht="66" x14ac:dyDescent="0.3">
      <c r="A66" s="15" t="s">
        <v>117</v>
      </c>
      <c r="B66" s="15" t="s">
        <v>107</v>
      </c>
      <c r="C66" s="15" t="s">
        <v>60</v>
      </c>
      <c r="D66" s="8" t="s">
        <v>118</v>
      </c>
      <c r="E66" s="16" t="s">
        <v>119</v>
      </c>
    </row>
    <row r="67" spans="1:5" ht="92.4" x14ac:dyDescent="0.3">
      <c r="A67" s="15" t="s">
        <v>120</v>
      </c>
      <c r="B67" s="15" t="s">
        <v>75</v>
      </c>
      <c r="C67" s="15" t="s">
        <v>60</v>
      </c>
      <c r="D67" s="8" t="s">
        <v>121</v>
      </c>
      <c r="E67" s="16" t="s">
        <v>122</v>
      </c>
    </row>
    <row r="68" spans="1:5" ht="66" x14ac:dyDescent="0.3">
      <c r="A68" s="15" t="s">
        <v>123</v>
      </c>
      <c r="B68" s="15" t="s">
        <v>107</v>
      </c>
      <c r="C68" s="15" t="s">
        <v>60</v>
      </c>
      <c r="D68" s="8" t="s">
        <v>124</v>
      </c>
      <c r="E68" s="16" t="s">
        <v>125</v>
      </c>
    </row>
    <row r="69" spans="1:5" ht="79.2" x14ac:dyDescent="0.3">
      <c r="A69" s="15" t="s">
        <v>126</v>
      </c>
      <c r="B69" s="15" t="s">
        <v>107</v>
      </c>
      <c r="C69" s="15" t="s">
        <v>60</v>
      </c>
      <c r="D69" s="8" t="s">
        <v>127</v>
      </c>
      <c r="E69" s="16" t="s">
        <v>128</v>
      </c>
    </row>
    <row r="70" spans="1:5" ht="92.4" x14ac:dyDescent="0.3">
      <c r="A70" s="15" t="s">
        <v>129</v>
      </c>
      <c r="B70" s="15" t="s">
        <v>107</v>
      </c>
      <c r="C70" s="15" t="s">
        <v>60</v>
      </c>
      <c r="D70" s="8" t="s">
        <v>130</v>
      </c>
      <c r="E70" s="16" t="s">
        <v>131</v>
      </c>
    </row>
    <row r="71" spans="1:5" ht="66" x14ac:dyDescent="0.3">
      <c r="A71" s="15" t="s">
        <v>132</v>
      </c>
      <c r="B71" s="15" t="s">
        <v>111</v>
      </c>
      <c r="C71" s="15" t="s">
        <v>60</v>
      </c>
      <c r="D71" s="8" t="s">
        <v>133</v>
      </c>
      <c r="E71" s="16" t="s">
        <v>134</v>
      </c>
    </row>
    <row r="72" spans="1:5" ht="66" x14ac:dyDescent="0.3">
      <c r="A72" s="15" t="s">
        <v>135</v>
      </c>
      <c r="B72" s="15" t="s">
        <v>54</v>
      </c>
      <c r="C72" s="15" t="s">
        <v>55</v>
      </c>
      <c r="D72" s="8" t="s">
        <v>136</v>
      </c>
      <c r="E72" s="16" t="s">
        <v>137</v>
      </c>
    </row>
    <row r="73" spans="1:5" ht="66" x14ac:dyDescent="0.3">
      <c r="A73" s="15" t="s">
        <v>138</v>
      </c>
      <c r="B73" s="15" t="s">
        <v>139</v>
      </c>
      <c r="C73" s="15" t="s">
        <v>60</v>
      </c>
      <c r="D73" s="8" t="s">
        <v>140</v>
      </c>
      <c r="E73" s="16" t="s">
        <v>141</v>
      </c>
    </row>
    <row r="74" spans="1:5" ht="66" x14ac:dyDescent="0.3">
      <c r="A74" s="15" t="s">
        <v>142</v>
      </c>
      <c r="B74" s="15" t="s">
        <v>54</v>
      </c>
      <c r="C74" s="15" t="s">
        <v>55</v>
      </c>
      <c r="D74" s="8" t="s">
        <v>143</v>
      </c>
      <c r="E74" s="16" t="s">
        <v>144</v>
      </c>
    </row>
    <row r="75" spans="1:5" ht="66" x14ac:dyDescent="0.3">
      <c r="A75" s="15" t="s">
        <v>145</v>
      </c>
      <c r="B75" s="15" t="s">
        <v>146</v>
      </c>
      <c r="C75" s="15" t="s">
        <v>55</v>
      </c>
      <c r="D75" s="8" t="s">
        <v>147</v>
      </c>
      <c r="E75" s="16" t="s">
        <v>148</v>
      </c>
    </row>
    <row r="76" spans="1:5" ht="66" x14ac:dyDescent="0.3">
      <c r="A76" s="15" t="s">
        <v>149</v>
      </c>
      <c r="B76" s="15" t="s">
        <v>146</v>
      </c>
      <c r="C76" s="15" t="s">
        <v>55</v>
      </c>
      <c r="D76" s="8" t="s">
        <v>150</v>
      </c>
      <c r="E76" s="16" t="s">
        <v>151</v>
      </c>
    </row>
    <row r="77" spans="1:5" ht="79.2" x14ac:dyDescent="0.3">
      <c r="A77" s="15" t="s">
        <v>152</v>
      </c>
      <c r="B77" s="15" t="s">
        <v>107</v>
      </c>
      <c r="C77" s="15" t="s">
        <v>60</v>
      </c>
      <c r="D77" s="8" t="s">
        <v>153</v>
      </c>
      <c r="E77" s="16" t="s">
        <v>154</v>
      </c>
    </row>
    <row r="78" spans="1:5" ht="66" x14ac:dyDescent="0.3">
      <c r="A78" s="15" t="s">
        <v>155</v>
      </c>
      <c r="B78" s="15" t="s">
        <v>59</v>
      </c>
      <c r="C78" s="15" t="s">
        <v>60</v>
      </c>
      <c r="D78" s="8" t="s">
        <v>156</v>
      </c>
      <c r="E78" s="16" t="s">
        <v>157</v>
      </c>
    </row>
    <row r="79" spans="1:5" ht="79.2" x14ac:dyDescent="0.3">
      <c r="A79" s="15" t="s">
        <v>158</v>
      </c>
      <c r="B79" s="15" t="s">
        <v>107</v>
      </c>
      <c r="C79" s="15" t="s">
        <v>60</v>
      </c>
      <c r="D79" s="8" t="s">
        <v>159</v>
      </c>
      <c r="E79" s="16" t="s">
        <v>160</v>
      </c>
    </row>
    <row r="80" spans="1:5" ht="79.2" x14ac:dyDescent="0.3">
      <c r="A80" s="15" t="s">
        <v>161</v>
      </c>
      <c r="B80" s="15" t="s">
        <v>107</v>
      </c>
      <c r="C80" s="15" t="s">
        <v>60</v>
      </c>
      <c r="D80" s="8" t="s">
        <v>162</v>
      </c>
      <c r="E80" s="16" t="s">
        <v>163</v>
      </c>
    </row>
    <row r="81" spans="1:5" ht="66" x14ac:dyDescent="0.3">
      <c r="A81" s="15" t="s">
        <v>164</v>
      </c>
      <c r="B81" s="15" t="s">
        <v>165</v>
      </c>
      <c r="C81" s="15" t="s">
        <v>55</v>
      </c>
      <c r="D81" s="8" t="s">
        <v>166</v>
      </c>
      <c r="E81" s="16" t="s">
        <v>167</v>
      </c>
    </row>
    <row r="82" spans="1:5" ht="66" x14ac:dyDescent="0.3">
      <c r="A82" s="15" t="s">
        <v>168</v>
      </c>
      <c r="B82" s="15" t="s">
        <v>59</v>
      </c>
      <c r="C82" s="15" t="s">
        <v>60</v>
      </c>
      <c r="D82" s="8" t="s">
        <v>169</v>
      </c>
      <c r="E82" s="16" t="s">
        <v>170</v>
      </c>
    </row>
    <row r="83" spans="1:5" ht="66" x14ac:dyDescent="0.3">
      <c r="A83" s="15" t="s">
        <v>171</v>
      </c>
      <c r="B83" s="15" t="s">
        <v>59</v>
      </c>
      <c r="C83" s="15" t="s">
        <v>60</v>
      </c>
      <c r="D83" s="8" t="s">
        <v>172</v>
      </c>
      <c r="E83" s="16" t="s">
        <v>173</v>
      </c>
    </row>
    <row r="84" spans="1:5" ht="66" x14ac:dyDescent="0.3">
      <c r="A84" s="15" t="s">
        <v>174</v>
      </c>
      <c r="B84" s="15" t="s">
        <v>59</v>
      </c>
      <c r="C84" s="15" t="s">
        <v>60</v>
      </c>
      <c r="D84" s="8" t="s">
        <v>175</v>
      </c>
      <c r="E84" s="16" t="s">
        <v>176</v>
      </c>
    </row>
    <row r="85" spans="1:5" ht="66" x14ac:dyDescent="0.3">
      <c r="A85" s="15" t="s">
        <v>177</v>
      </c>
      <c r="B85" s="15" t="s">
        <v>59</v>
      </c>
      <c r="C85" s="15" t="s">
        <v>60</v>
      </c>
      <c r="D85" s="8" t="s">
        <v>178</v>
      </c>
      <c r="E85" s="16" t="s">
        <v>179</v>
      </c>
    </row>
    <row r="86" spans="1:5" ht="66" x14ac:dyDescent="0.3">
      <c r="A86" s="15" t="s">
        <v>180</v>
      </c>
      <c r="B86" s="15" t="s">
        <v>59</v>
      </c>
      <c r="C86" s="15" t="s">
        <v>60</v>
      </c>
      <c r="D86" s="8" t="s">
        <v>181</v>
      </c>
      <c r="E86" s="16" t="s">
        <v>182</v>
      </c>
    </row>
    <row r="87" spans="1:5" ht="79.2" x14ac:dyDescent="0.3">
      <c r="A87" s="15" t="s">
        <v>183</v>
      </c>
      <c r="B87" s="15" t="s">
        <v>64</v>
      </c>
      <c r="C87" s="15" t="s">
        <v>60</v>
      </c>
      <c r="D87" s="8" t="s">
        <v>184</v>
      </c>
      <c r="E87" s="16" t="s">
        <v>185</v>
      </c>
    </row>
    <row r="88" spans="1:5" ht="79.2" x14ac:dyDescent="0.3">
      <c r="A88" s="15" t="s">
        <v>186</v>
      </c>
      <c r="B88" s="15" t="s">
        <v>68</v>
      </c>
      <c r="C88" s="15" t="s">
        <v>55</v>
      </c>
      <c r="D88" s="8" t="s">
        <v>187</v>
      </c>
      <c r="E88" s="16" t="s">
        <v>188</v>
      </c>
    </row>
    <row r="89" spans="1:5" ht="79.2" x14ac:dyDescent="0.3">
      <c r="A89" s="15" t="s">
        <v>189</v>
      </c>
      <c r="B89" s="15" t="s">
        <v>107</v>
      </c>
      <c r="C89" s="15" t="s">
        <v>60</v>
      </c>
      <c r="D89" s="8" t="s">
        <v>190</v>
      </c>
      <c r="E89" s="16" t="s">
        <v>191</v>
      </c>
    </row>
    <row r="90" spans="1:5" ht="92.4" x14ac:dyDescent="0.3">
      <c r="A90" s="15" t="s">
        <v>192</v>
      </c>
      <c r="B90" s="15" t="s">
        <v>165</v>
      </c>
      <c r="C90" s="15" t="s">
        <v>55</v>
      </c>
      <c r="D90" s="8" t="s">
        <v>193</v>
      </c>
      <c r="E90" s="16" t="s">
        <v>194</v>
      </c>
    </row>
    <row r="91" spans="1:5" ht="105.6" x14ac:dyDescent="0.3">
      <c r="A91" s="15" t="s">
        <v>195</v>
      </c>
      <c r="B91" s="15" t="s">
        <v>68</v>
      </c>
      <c r="C91" s="15" t="s">
        <v>55</v>
      </c>
      <c r="D91" s="8" t="s">
        <v>196</v>
      </c>
      <c r="E91" s="16" t="s">
        <v>197</v>
      </c>
    </row>
    <row r="92" spans="1:5" ht="79.2" x14ac:dyDescent="0.3">
      <c r="A92" s="15" t="s">
        <v>198</v>
      </c>
      <c r="B92" s="15" t="s">
        <v>107</v>
      </c>
      <c r="C92" s="15" t="s">
        <v>55</v>
      </c>
      <c r="D92" s="8" t="s">
        <v>199</v>
      </c>
      <c r="E92" s="16" t="s">
        <v>200</v>
      </c>
    </row>
  </sheetData>
  <mergeCells count="8">
    <mergeCell ref="A20:E20"/>
    <mergeCell ref="A21:H44"/>
    <mergeCell ref="A46:E46"/>
    <mergeCell ref="A1:E1"/>
    <mergeCell ref="A3:E3"/>
    <mergeCell ref="A16:D16"/>
    <mergeCell ref="A18:E18"/>
    <mergeCell ref="B19:E19"/>
  </mergeCells>
  <printOptions horizontalCentered="1"/>
  <pageMargins left="0.4" right="0.4" top="0.5" bottom="0.5" header="0.511811023622047" footer="0.2"/>
  <pageSetup fitToHeight="0" orientation="landscape" horizontalDpi="300" verticalDpi="300"/>
  <headerFooter>
    <oddFooter>&amp;C&amp;F — 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showGridLines="0" tabSelected="1" zoomScaleNormal="100" workbookViewId="0">
      <pane ySplit="1" topLeftCell="A2" activePane="bottomLeft" state="frozen"/>
      <selection pane="bottomLeft" activeCell="D17" sqref="D17"/>
    </sheetView>
  </sheetViews>
  <sheetFormatPr defaultColWidth="8.6640625" defaultRowHeight="14.4" x14ac:dyDescent="0.3"/>
  <cols>
    <col min="1" max="1" width="8" customWidth="1"/>
    <col min="2" max="2" width="18" customWidth="1"/>
    <col min="3" max="3" width="32" customWidth="1"/>
    <col min="4" max="4" width="26" customWidth="1"/>
    <col min="5" max="7" width="12" customWidth="1"/>
    <col min="8" max="8" width="14" customWidth="1"/>
    <col min="9" max="9" width="12" customWidth="1"/>
    <col min="10" max="10" width="20" customWidth="1"/>
    <col min="11" max="11" width="28" customWidth="1"/>
  </cols>
  <sheetData>
    <row r="1" spans="1:11" ht="41.4" x14ac:dyDescent="0.3">
      <c r="A1" s="17" t="s">
        <v>201</v>
      </c>
      <c r="B1" s="17" t="s">
        <v>202</v>
      </c>
      <c r="C1" s="17" t="s">
        <v>203</v>
      </c>
      <c r="D1" s="17" t="s">
        <v>204</v>
      </c>
      <c r="E1" s="17" t="s">
        <v>205</v>
      </c>
      <c r="F1" s="17" t="s">
        <v>206</v>
      </c>
      <c r="G1" s="17" t="s">
        <v>207</v>
      </c>
      <c r="H1" s="17" t="s">
        <v>208</v>
      </c>
      <c r="I1" s="17" t="s">
        <v>209</v>
      </c>
      <c r="J1" s="17" t="s">
        <v>210</v>
      </c>
      <c r="K1" s="17" t="s">
        <v>211</v>
      </c>
    </row>
    <row r="2" spans="1:11" x14ac:dyDescent="0.3">
      <c r="A2" s="18">
        <v>1</v>
      </c>
      <c r="B2" s="19" t="s">
        <v>212</v>
      </c>
      <c r="C2" s="19" t="s">
        <v>213</v>
      </c>
      <c r="D2" s="19" t="s">
        <v>195</v>
      </c>
      <c r="E2" s="18">
        <v>12.7</v>
      </c>
      <c r="F2" s="18">
        <v>0.05</v>
      </c>
      <c r="G2" s="18">
        <v>0.05</v>
      </c>
      <c r="H2" s="18">
        <v>12.715</v>
      </c>
      <c r="I2" s="20" t="str">
        <f t="shared" ref="I2:I31" si="0">IF(OR(E2="",H2=""),"INCOMPLETE",IF(AND(H2&gt;=(E2-G2),H2&lt;=(E2+F2)),"PASS","FAIL"))</f>
        <v>PASS</v>
      </c>
      <c r="J2" s="19" t="s">
        <v>214</v>
      </c>
      <c r="K2" s="21" t="s">
        <v>215</v>
      </c>
    </row>
    <row r="3" spans="1:11" x14ac:dyDescent="0.3">
      <c r="A3" s="18"/>
      <c r="B3" s="19"/>
      <c r="C3" s="19"/>
      <c r="D3" s="19"/>
      <c r="E3" s="18"/>
      <c r="F3" s="18"/>
      <c r="G3" s="18"/>
      <c r="H3" s="18"/>
      <c r="I3" s="20" t="str">
        <f t="shared" si="0"/>
        <v>INCOMPLETE</v>
      </c>
      <c r="J3" s="19"/>
      <c r="K3" s="19"/>
    </row>
    <row r="4" spans="1:11" x14ac:dyDescent="0.3">
      <c r="A4" s="18"/>
      <c r="B4" s="19"/>
      <c r="C4" s="19"/>
      <c r="D4" s="19"/>
      <c r="E4" s="18"/>
      <c r="F4" s="18"/>
      <c r="G4" s="18"/>
      <c r="H4" s="18"/>
      <c r="I4" s="20" t="str">
        <f t="shared" si="0"/>
        <v>INCOMPLETE</v>
      </c>
      <c r="J4" s="19"/>
      <c r="K4" s="19"/>
    </row>
    <row r="5" spans="1:11" x14ac:dyDescent="0.3">
      <c r="A5" s="18"/>
      <c r="B5" s="19"/>
      <c r="C5" s="19"/>
      <c r="D5" s="19"/>
      <c r="E5" s="18"/>
      <c r="F5" s="18"/>
      <c r="G5" s="18"/>
      <c r="H5" s="18"/>
      <c r="I5" s="20" t="str">
        <f t="shared" si="0"/>
        <v>INCOMPLETE</v>
      </c>
      <c r="J5" s="19"/>
      <c r="K5" s="19"/>
    </row>
    <row r="6" spans="1:11" x14ac:dyDescent="0.3">
      <c r="A6" s="18"/>
      <c r="B6" s="19"/>
      <c r="C6" s="19"/>
      <c r="D6" s="19"/>
      <c r="E6" s="18"/>
      <c r="F6" s="18"/>
      <c r="G6" s="18"/>
      <c r="H6" s="18"/>
      <c r="I6" s="20" t="str">
        <f t="shared" si="0"/>
        <v>INCOMPLETE</v>
      </c>
      <c r="J6" s="19"/>
      <c r="K6" s="19"/>
    </row>
    <row r="7" spans="1:11" x14ac:dyDescent="0.3">
      <c r="A7" s="18"/>
      <c r="B7" s="19"/>
      <c r="C7" s="19"/>
      <c r="D7" s="19"/>
      <c r="E7" s="18"/>
      <c r="F7" s="18"/>
      <c r="G7" s="18"/>
      <c r="H7" s="18"/>
      <c r="I7" s="20" t="str">
        <f t="shared" si="0"/>
        <v>INCOMPLETE</v>
      </c>
      <c r="J7" s="19"/>
      <c r="K7" s="19"/>
    </row>
    <row r="8" spans="1:11" x14ac:dyDescent="0.3">
      <c r="A8" s="18"/>
      <c r="B8" s="19"/>
      <c r="C8" s="19"/>
      <c r="D8" s="19"/>
      <c r="E8" s="18"/>
      <c r="F8" s="18"/>
      <c r="G8" s="18"/>
      <c r="H8" s="18"/>
      <c r="I8" s="20" t="str">
        <f t="shared" si="0"/>
        <v>INCOMPLETE</v>
      </c>
      <c r="J8" s="19"/>
      <c r="K8" s="19"/>
    </row>
    <row r="9" spans="1:11" x14ac:dyDescent="0.3">
      <c r="A9" s="18"/>
      <c r="B9" s="19"/>
      <c r="C9" s="19"/>
      <c r="D9" s="19"/>
      <c r="E9" s="18"/>
      <c r="F9" s="18"/>
      <c r="G9" s="18"/>
      <c r="H9" s="18"/>
      <c r="I9" s="20" t="str">
        <f t="shared" si="0"/>
        <v>INCOMPLETE</v>
      </c>
      <c r="J9" s="19"/>
      <c r="K9" s="19"/>
    </row>
    <row r="10" spans="1:11" x14ac:dyDescent="0.3">
      <c r="A10" s="18"/>
      <c r="B10" s="19"/>
      <c r="C10" s="19"/>
      <c r="D10" s="19"/>
      <c r="E10" s="18"/>
      <c r="F10" s="18"/>
      <c r="G10" s="18"/>
      <c r="H10" s="18"/>
      <c r="I10" s="20" t="str">
        <f t="shared" si="0"/>
        <v>INCOMPLETE</v>
      </c>
      <c r="J10" s="19"/>
      <c r="K10" s="19"/>
    </row>
    <row r="11" spans="1:11" x14ac:dyDescent="0.3">
      <c r="A11" s="18"/>
      <c r="B11" s="19"/>
      <c r="C11" s="19"/>
      <c r="D11" s="19"/>
      <c r="E11" s="18"/>
      <c r="F11" s="18"/>
      <c r="G11" s="18"/>
      <c r="H11" s="18"/>
      <c r="I11" s="20" t="str">
        <f t="shared" si="0"/>
        <v>INCOMPLETE</v>
      </c>
      <c r="J11" s="19"/>
      <c r="K11" s="19"/>
    </row>
    <row r="12" spans="1:11" x14ac:dyDescent="0.3">
      <c r="A12" s="18"/>
      <c r="B12" s="19"/>
      <c r="C12" s="19"/>
      <c r="D12" s="19"/>
      <c r="E12" s="18"/>
      <c r="F12" s="18"/>
      <c r="G12" s="18"/>
      <c r="H12" s="18"/>
      <c r="I12" s="20" t="str">
        <f t="shared" si="0"/>
        <v>INCOMPLETE</v>
      </c>
      <c r="J12" s="19"/>
      <c r="K12" s="19"/>
    </row>
    <row r="13" spans="1:11" x14ac:dyDescent="0.3">
      <c r="A13" s="18"/>
      <c r="B13" s="19"/>
      <c r="C13" s="19"/>
      <c r="D13" s="19"/>
      <c r="E13" s="18"/>
      <c r="F13" s="18"/>
      <c r="G13" s="18"/>
      <c r="H13" s="18"/>
      <c r="I13" s="20" t="str">
        <f t="shared" si="0"/>
        <v>INCOMPLETE</v>
      </c>
      <c r="J13" s="19"/>
      <c r="K13" s="19"/>
    </row>
    <row r="14" spans="1:11" x14ac:dyDescent="0.3">
      <c r="A14" s="18"/>
      <c r="B14" s="19"/>
      <c r="C14" s="19"/>
      <c r="D14" s="19"/>
      <c r="E14" s="18"/>
      <c r="F14" s="18"/>
      <c r="G14" s="18"/>
      <c r="H14" s="18"/>
      <c r="I14" s="20" t="str">
        <f t="shared" si="0"/>
        <v>INCOMPLETE</v>
      </c>
      <c r="J14" s="19"/>
      <c r="K14" s="19"/>
    </row>
    <row r="15" spans="1:11" x14ac:dyDescent="0.3">
      <c r="A15" s="18"/>
      <c r="B15" s="19"/>
      <c r="C15" s="19"/>
      <c r="D15" s="19"/>
      <c r="E15" s="18"/>
      <c r="F15" s="18"/>
      <c r="G15" s="18"/>
      <c r="H15" s="18"/>
      <c r="I15" s="20" t="str">
        <f t="shared" si="0"/>
        <v>INCOMPLETE</v>
      </c>
      <c r="J15" s="19"/>
      <c r="K15" s="19"/>
    </row>
    <row r="16" spans="1:11" x14ac:dyDescent="0.3">
      <c r="A16" s="18"/>
      <c r="B16" s="19"/>
      <c r="C16" s="19"/>
      <c r="D16" s="19"/>
      <c r="E16" s="18"/>
      <c r="F16" s="18"/>
      <c r="G16" s="18"/>
      <c r="H16" s="18"/>
      <c r="I16" s="20" t="str">
        <f t="shared" si="0"/>
        <v>INCOMPLETE</v>
      </c>
      <c r="J16" s="19"/>
      <c r="K16" s="19"/>
    </row>
    <row r="17" spans="1:11" x14ac:dyDescent="0.3">
      <c r="A17" s="18"/>
      <c r="B17" s="19"/>
      <c r="C17" s="19"/>
      <c r="D17" s="19"/>
      <c r="E17" s="18"/>
      <c r="F17" s="18"/>
      <c r="G17" s="18"/>
      <c r="H17" s="18"/>
      <c r="I17" s="20" t="str">
        <f t="shared" si="0"/>
        <v>INCOMPLETE</v>
      </c>
      <c r="J17" s="19"/>
      <c r="K17" s="19"/>
    </row>
    <row r="18" spans="1:11" x14ac:dyDescent="0.3">
      <c r="A18" s="18"/>
      <c r="B18" s="19"/>
      <c r="C18" s="19"/>
      <c r="D18" s="19"/>
      <c r="E18" s="18"/>
      <c r="F18" s="18"/>
      <c r="G18" s="18"/>
      <c r="H18" s="18"/>
      <c r="I18" s="20" t="str">
        <f t="shared" si="0"/>
        <v>INCOMPLETE</v>
      </c>
      <c r="J18" s="19"/>
      <c r="K18" s="19"/>
    </row>
    <row r="19" spans="1:11" x14ac:dyDescent="0.3">
      <c r="A19" s="18"/>
      <c r="B19" s="19"/>
      <c r="C19" s="19"/>
      <c r="D19" s="19"/>
      <c r="E19" s="18"/>
      <c r="F19" s="18"/>
      <c r="G19" s="18"/>
      <c r="H19" s="18"/>
      <c r="I19" s="20" t="str">
        <f t="shared" si="0"/>
        <v>INCOMPLETE</v>
      </c>
      <c r="J19" s="19"/>
      <c r="K19" s="19"/>
    </row>
    <row r="20" spans="1:11" x14ac:dyDescent="0.3">
      <c r="A20" s="18"/>
      <c r="B20" s="19"/>
      <c r="C20" s="19"/>
      <c r="D20" s="19"/>
      <c r="E20" s="18"/>
      <c r="F20" s="18"/>
      <c r="G20" s="18"/>
      <c r="H20" s="18"/>
      <c r="I20" s="20" t="str">
        <f t="shared" si="0"/>
        <v>INCOMPLETE</v>
      </c>
      <c r="J20" s="19"/>
      <c r="K20" s="19"/>
    </row>
    <row r="21" spans="1:11" x14ac:dyDescent="0.3">
      <c r="A21" s="18"/>
      <c r="B21" s="19"/>
      <c r="C21" s="19"/>
      <c r="D21" s="19"/>
      <c r="E21" s="18"/>
      <c r="F21" s="18"/>
      <c r="G21" s="18"/>
      <c r="H21" s="18"/>
      <c r="I21" s="20" t="str">
        <f t="shared" si="0"/>
        <v>INCOMPLETE</v>
      </c>
      <c r="J21" s="19"/>
      <c r="K21" s="19"/>
    </row>
    <row r="22" spans="1:11" x14ac:dyDescent="0.3">
      <c r="A22" s="18"/>
      <c r="B22" s="19"/>
      <c r="C22" s="19"/>
      <c r="D22" s="19"/>
      <c r="E22" s="18"/>
      <c r="F22" s="18"/>
      <c r="G22" s="18"/>
      <c r="H22" s="18"/>
      <c r="I22" s="20" t="str">
        <f t="shared" si="0"/>
        <v>INCOMPLETE</v>
      </c>
      <c r="J22" s="19"/>
      <c r="K22" s="19"/>
    </row>
    <row r="23" spans="1:11" x14ac:dyDescent="0.3">
      <c r="A23" s="18"/>
      <c r="B23" s="19"/>
      <c r="C23" s="19"/>
      <c r="D23" s="19"/>
      <c r="E23" s="18"/>
      <c r="F23" s="18"/>
      <c r="G23" s="18"/>
      <c r="H23" s="18"/>
      <c r="I23" s="20" t="str">
        <f t="shared" si="0"/>
        <v>INCOMPLETE</v>
      </c>
      <c r="J23" s="19"/>
      <c r="K23" s="19"/>
    </row>
    <row r="24" spans="1:11" x14ac:dyDescent="0.3">
      <c r="A24" s="18"/>
      <c r="B24" s="19"/>
      <c r="C24" s="19"/>
      <c r="D24" s="19"/>
      <c r="E24" s="18"/>
      <c r="F24" s="18"/>
      <c r="G24" s="18"/>
      <c r="H24" s="18"/>
      <c r="I24" s="20" t="str">
        <f t="shared" si="0"/>
        <v>INCOMPLETE</v>
      </c>
      <c r="J24" s="19"/>
      <c r="K24" s="19"/>
    </row>
    <row r="25" spans="1:11" x14ac:dyDescent="0.3">
      <c r="A25" s="18"/>
      <c r="B25" s="19"/>
      <c r="C25" s="19"/>
      <c r="D25" s="19"/>
      <c r="E25" s="18"/>
      <c r="F25" s="18"/>
      <c r="G25" s="18"/>
      <c r="H25" s="18"/>
      <c r="I25" s="20" t="str">
        <f t="shared" si="0"/>
        <v>INCOMPLETE</v>
      </c>
      <c r="J25" s="19"/>
      <c r="K25" s="19"/>
    </row>
    <row r="26" spans="1:11" x14ac:dyDescent="0.3">
      <c r="A26" s="18"/>
      <c r="B26" s="19"/>
      <c r="C26" s="19"/>
      <c r="D26" s="19"/>
      <c r="E26" s="18"/>
      <c r="F26" s="18"/>
      <c r="G26" s="18"/>
      <c r="H26" s="18"/>
      <c r="I26" s="20" t="str">
        <f t="shared" si="0"/>
        <v>INCOMPLETE</v>
      </c>
      <c r="J26" s="19"/>
      <c r="K26" s="19"/>
    </row>
    <row r="27" spans="1:11" x14ac:dyDescent="0.3">
      <c r="A27" s="18"/>
      <c r="B27" s="19"/>
      <c r="C27" s="19"/>
      <c r="D27" s="19"/>
      <c r="E27" s="18"/>
      <c r="F27" s="18"/>
      <c r="G27" s="18"/>
      <c r="H27" s="18"/>
      <c r="I27" s="20" t="str">
        <f t="shared" si="0"/>
        <v>INCOMPLETE</v>
      </c>
      <c r="J27" s="19"/>
      <c r="K27" s="19"/>
    </row>
    <row r="28" spans="1:11" x14ac:dyDescent="0.3">
      <c r="A28" s="18"/>
      <c r="B28" s="19"/>
      <c r="C28" s="19"/>
      <c r="D28" s="19"/>
      <c r="E28" s="18"/>
      <c r="F28" s="18"/>
      <c r="G28" s="18"/>
      <c r="H28" s="18"/>
      <c r="I28" s="20" t="str">
        <f t="shared" si="0"/>
        <v>INCOMPLETE</v>
      </c>
      <c r="J28" s="19"/>
      <c r="K28" s="19"/>
    </row>
    <row r="29" spans="1:11" x14ac:dyDescent="0.3">
      <c r="A29" s="18"/>
      <c r="B29" s="19"/>
      <c r="C29" s="19"/>
      <c r="D29" s="19"/>
      <c r="E29" s="18"/>
      <c r="F29" s="18"/>
      <c r="G29" s="18"/>
      <c r="H29" s="18"/>
      <c r="I29" s="20" t="str">
        <f t="shared" si="0"/>
        <v>INCOMPLETE</v>
      </c>
      <c r="J29" s="19"/>
      <c r="K29" s="19"/>
    </row>
    <row r="30" spans="1:11" x14ac:dyDescent="0.3">
      <c r="A30" s="18"/>
      <c r="B30" s="19"/>
      <c r="C30" s="19"/>
      <c r="D30" s="19"/>
      <c r="E30" s="18"/>
      <c r="F30" s="18"/>
      <c r="G30" s="18"/>
      <c r="H30" s="18"/>
      <c r="I30" s="20" t="str">
        <f t="shared" si="0"/>
        <v>INCOMPLETE</v>
      </c>
      <c r="J30" s="19"/>
      <c r="K30" s="19"/>
    </row>
    <row r="31" spans="1:11" x14ac:dyDescent="0.3">
      <c r="A31" s="18"/>
      <c r="B31" s="19"/>
      <c r="C31" s="19"/>
      <c r="D31" s="19"/>
      <c r="E31" s="18"/>
      <c r="F31" s="18"/>
      <c r="G31" s="18"/>
      <c r="H31" s="18"/>
      <c r="I31" s="20" t="str">
        <f t="shared" si="0"/>
        <v>INCOMPLETE</v>
      </c>
      <c r="J31" s="19"/>
      <c r="K31" s="19"/>
    </row>
  </sheetData>
  <conditionalFormatting sqref="I2:I31">
    <cfRule type="cellIs" dxfId="5" priority="2" operator="equal">
      <formula>"PASS"</formula>
    </cfRule>
    <cfRule type="cellIs" dxfId="4" priority="3" operator="equal">
      <formula>"FAIL"</formula>
    </cfRule>
    <cfRule type="cellIs" dxfId="3" priority="4" operator="equal">
      <formula>"INCOMPLETE"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entry" error="Please choose a value from the GD&amp;T Reference list." xr:uid="{00000000-0002-0000-0200-000000000000}">
          <x14:formula1>
            <xm:f>'Part Info, Drawing &amp; GDT Ref'!$A$48:$A$92</xm:f>
          </x14:formula1>
          <x14:formula2>
            <xm:f>0</xm:f>
          </x14:formula2>
          <xm:sqref>D2:D31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GridLines="0" zoomScaleNormal="100" workbookViewId="0">
      <selection activeCell="B8" sqref="B8"/>
    </sheetView>
  </sheetViews>
  <sheetFormatPr defaultColWidth="8.6640625" defaultRowHeight="14.4" x14ac:dyDescent="0.3"/>
  <cols>
    <col min="1" max="1" width="30" customWidth="1"/>
    <col min="2" max="2" width="24" customWidth="1"/>
  </cols>
  <sheetData>
    <row r="1" spans="1:2" ht="21.75" customHeight="1" x14ac:dyDescent="0.3">
      <c r="A1" s="6" t="s">
        <v>216</v>
      </c>
      <c r="B1" s="6"/>
    </row>
    <row r="3" spans="1:2" x14ac:dyDescent="0.3">
      <c r="A3" s="22" t="s">
        <v>217</v>
      </c>
      <c r="B3" s="20">
        <f>COUNTA(Characteristics!A2:A31)</f>
        <v>1</v>
      </c>
    </row>
    <row r="4" spans="1:2" x14ac:dyDescent="0.3">
      <c r="A4" s="22" t="s">
        <v>218</v>
      </c>
      <c r="B4" s="20">
        <f>COUNTIF(Characteristics!I2:I31,"PASS")</f>
        <v>1</v>
      </c>
    </row>
    <row r="5" spans="1:2" x14ac:dyDescent="0.3">
      <c r="A5" s="22" t="s">
        <v>219</v>
      </c>
      <c r="B5" s="20">
        <f>COUNTIF(Characteristics!I2:I31,"FAIL")</f>
        <v>0</v>
      </c>
    </row>
    <row r="6" spans="1:2" x14ac:dyDescent="0.3">
      <c r="A6" s="22" t="s">
        <v>220</v>
      </c>
      <c r="B6" s="20">
        <f>COUNTIF(Characteristics!I2:I31,"INCOMPLETE")</f>
        <v>29</v>
      </c>
    </row>
    <row r="8" spans="1:2" x14ac:dyDescent="0.3">
      <c r="A8" s="22" t="s">
        <v>221</v>
      </c>
      <c r="B8" s="23" t="str">
        <f>IF(B6&gt;0,"INCOMPLETE",IF(B5&gt;0,"REJECTED — FAILURES PRESENT","ACCEPTED — ALL PASS"))</f>
        <v>INCOMPLETE</v>
      </c>
    </row>
  </sheetData>
  <mergeCells count="1">
    <mergeCell ref="A1:B1"/>
  </mergeCells>
  <conditionalFormatting sqref="B8">
    <cfRule type="expression" dxfId="2" priority="2">
      <formula>B8="ACCEPTED — ALL PASS"</formula>
    </cfRule>
    <cfRule type="expression" dxfId="1" priority="3">
      <formula>B8="REJECTED — FAILURES PRESENT"</formula>
    </cfRule>
    <cfRule type="expression" dxfId="0" priority="4">
      <formula>B8="INCOMPLETE"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Part Info, Drawing &amp; GDT Ref</vt:lpstr>
      <vt:lpstr>Characteristics</vt:lpstr>
      <vt:lpstr>Summary</vt:lpstr>
      <vt:lpstr>'Part Info, Drawing &amp; GDT Ref'!Print_Area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Nithish Reddy</cp:lastModifiedBy>
  <cp:revision>0</cp:revision>
  <dcterms:created xsi:type="dcterms:W3CDTF">2026-09-26T08:33:42Z</dcterms:created>
  <dcterms:modified xsi:type="dcterms:W3CDTF">2026-09-26T08:38:29Z</dcterms:modified>
  <dc:language>en-US</dc:language>
</cp:coreProperties>
</file>